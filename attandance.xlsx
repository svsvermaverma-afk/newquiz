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F64" i="1"/>
  <c r="F2" i="1"/>
  <c r="I2" i="1" s="1"/>
  <c r="I64" i="1" l="1"/>
  <c r="G46" i="1"/>
  <c r="G58" i="1"/>
  <c r="J12" i="1"/>
  <c r="L12" i="1"/>
  <c r="M12" i="1" s="1"/>
  <c r="J11" i="1"/>
  <c r="L11" i="1"/>
  <c r="M11" i="1" s="1"/>
  <c r="J36" i="1"/>
  <c r="L36" i="1"/>
  <c r="M36" i="1" s="1"/>
  <c r="J47" i="1"/>
  <c r="L47" i="1"/>
  <c r="M47" i="1" s="1"/>
  <c r="J23" i="1"/>
  <c r="L23" i="1"/>
  <c r="M23" i="1" s="1"/>
  <c r="J58" i="1"/>
  <c r="L58" i="1"/>
  <c r="M58" i="1" s="1"/>
  <c r="J22" i="1"/>
  <c r="L22" i="1"/>
  <c r="M22" i="1" s="1"/>
  <c r="G36" i="1"/>
  <c r="J33" i="1"/>
  <c r="L33" i="1"/>
  <c r="M33" i="1" s="1"/>
  <c r="G35" i="1"/>
  <c r="J44" i="1"/>
  <c r="L44" i="1"/>
  <c r="M44" i="1" s="1"/>
  <c r="J8" i="1"/>
  <c r="L8" i="1"/>
  <c r="M8" i="1" s="1"/>
  <c r="J19" i="1"/>
  <c r="L19" i="1"/>
  <c r="M19" i="1" s="1"/>
  <c r="J54" i="1"/>
  <c r="L54" i="1"/>
  <c r="M54" i="1" s="1"/>
  <c r="J18" i="1"/>
  <c r="L18" i="1"/>
  <c r="M18" i="1" s="1"/>
  <c r="G23" i="1"/>
  <c r="J41" i="1"/>
  <c r="L41" i="1"/>
  <c r="M41" i="1" s="1"/>
  <c r="J5" i="1"/>
  <c r="L5" i="1"/>
  <c r="M5" i="1" s="1"/>
  <c r="J64" i="1"/>
  <c r="L64" i="1"/>
  <c r="M64" i="1" s="1"/>
  <c r="J28" i="1"/>
  <c r="L28" i="1"/>
  <c r="M28" i="1" s="1"/>
  <c r="J63" i="1"/>
  <c r="L63" i="1"/>
  <c r="M63" i="1" s="1"/>
  <c r="J3" i="1"/>
  <c r="L3" i="1"/>
  <c r="M3" i="1" s="1"/>
  <c r="G11" i="1"/>
  <c r="J48" i="1"/>
  <c r="L48" i="1"/>
  <c r="M48" i="1" s="1"/>
  <c r="J59" i="1"/>
  <c r="L59" i="1"/>
  <c r="M59" i="1" s="1"/>
  <c r="J34" i="1"/>
  <c r="L34" i="1"/>
  <c r="M34" i="1" s="1"/>
  <c r="J57" i="1"/>
  <c r="L57" i="1"/>
  <c r="M57" i="1" s="1"/>
  <c r="J21" i="1"/>
  <c r="L21" i="1"/>
  <c r="M21" i="1" s="1"/>
  <c r="J32" i="1"/>
  <c r="L32" i="1"/>
  <c r="M32" i="1" s="1"/>
  <c r="G34" i="1"/>
  <c r="J43" i="1"/>
  <c r="L43" i="1"/>
  <c r="M43" i="1" s="1"/>
  <c r="J7" i="1"/>
  <c r="L7" i="1"/>
  <c r="M7" i="1" s="1"/>
  <c r="G24" i="1"/>
  <c r="J30" i="1"/>
  <c r="L30" i="1"/>
  <c r="M30" i="1" s="1"/>
  <c r="J2" i="1"/>
  <c r="L2" i="1"/>
  <c r="M2" i="1" s="1"/>
  <c r="J17" i="1"/>
  <c r="L17" i="1"/>
  <c r="M17" i="1" s="1"/>
  <c r="J52" i="1"/>
  <c r="L52" i="1"/>
  <c r="M52" i="1" s="1"/>
  <c r="J4" i="1"/>
  <c r="L4" i="1"/>
  <c r="M4" i="1" s="1"/>
  <c r="J51" i="1"/>
  <c r="L51" i="1"/>
  <c r="M51" i="1" s="1"/>
  <c r="J27" i="1"/>
  <c r="L27" i="1"/>
  <c r="M27" i="1" s="1"/>
  <c r="J62" i="1"/>
  <c r="L62" i="1"/>
  <c r="M62" i="1" s="1"/>
  <c r="J50" i="1"/>
  <c r="L50" i="1"/>
  <c r="M50" i="1" s="1"/>
  <c r="J38" i="1"/>
  <c r="L38" i="1"/>
  <c r="M38" i="1" s="1"/>
  <c r="J26" i="1"/>
  <c r="L26" i="1"/>
  <c r="M26" i="1" s="1"/>
  <c r="J14" i="1"/>
  <c r="L14" i="1"/>
  <c r="M14" i="1" s="1"/>
  <c r="G60" i="1"/>
  <c r="G10" i="1"/>
  <c r="J60" i="1"/>
  <c r="L60" i="1"/>
  <c r="M60" i="1" s="1"/>
  <c r="J24" i="1"/>
  <c r="L24" i="1"/>
  <c r="M24" i="1" s="1"/>
  <c r="J35" i="1"/>
  <c r="L35" i="1"/>
  <c r="M35" i="1" s="1"/>
  <c r="J46" i="1"/>
  <c r="L46" i="1"/>
  <c r="M46" i="1" s="1"/>
  <c r="J10" i="1"/>
  <c r="L10" i="1"/>
  <c r="M10" i="1" s="1"/>
  <c r="J45" i="1"/>
  <c r="L45" i="1"/>
  <c r="M45" i="1" s="1"/>
  <c r="J9" i="1"/>
  <c r="L9" i="1"/>
  <c r="M9" i="1" s="1"/>
  <c r="J56" i="1"/>
  <c r="L56" i="1"/>
  <c r="M56" i="1" s="1"/>
  <c r="J20" i="1"/>
  <c r="L20" i="1"/>
  <c r="M20" i="1" s="1"/>
  <c r="J55" i="1"/>
  <c r="L55" i="1"/>
  <c r="M55" i="1" s="1"/>
  <c r="J31" i="1"/>
  <c r="L31" i="1"/>
  <c r="M31" i="1" s="1"/>
  <c r="J42" i="1"/>
  <c r="L42" i="1"/>
  <c r="M42" i="1" s="1"/>
  <c r="J6" i="1"/>
  <c r="L6" i="1"/>
  <c r="M6" i="1" s="1"/>
  <c r="J53" i="1"/>
  <c r="L53" i="1"/>
  <c r="M53" i="1" s="1"/>
  <c r="J29" i="1"/>
  <c r="L29" i="1"/>
  <c r="M29" i="1" s="1"/>
  <c r="G22" i="1"/>
  <c r="J40" i="1"/>
  <c r="L40" i="1"/>
  <c r="M40" i="1" s="1"/>
  <c r="J16" i="1"/>
  <c r="L16" i="1"/>
  <c r="M16" i="1" s="1"/>
  <c r="G12" i="1"/>
  <c r="J39" i="1"/>
  <c r="L39" i="1"/>
  <c r="M39" i="1" s="1"/>
  <c r="J15" i="1"/>
  <c r="L15" i="1"/>
  <c r="M15" i="1" s="1"/>
  <c r="J61" i="1"/>
  <c r="L61" i="1"/>
  <c r="M61" i="1" s="1"/>
  <c r="J49" i="1"/>
  <c r="L49" i="1"/>
  <c r="M49" i="1" s="1"/>
  <c r="J37" i="1"/>
  <c r="L37" i="1"/>
  <c r="M37" i="1" s="1"/>
  <c r="J25" i="1"/>
  <c r="L25" i="1"/>
  <c r="M25" i="1" s="1"/>
  <c r="J13" i="1"/>
  <c r="L13" i="1"/>
  <c r="M13" i="1" s="1"/>
  <c r="G59" i="1"/>
  <c r="G48" i="1"/>
  <c r="G47" i="1"/>
  <c r="G32" i="1"/>
  <c r="G31" i="1"/>
  <c r="G54" i="1"/>
  <c r="G42" i="1"/>
  <c r="G30" i="1"/>
  <c r="G18" i="1"/>
  <c r="G6" i="1"/>
  <c r="G9" i="1"/>
  <c r="G19" i="1"/>
  <c r="G53" i="1"/>
  <c r="G29" i="1"/>
  <c r="G17" i="1"/>
  <c r="G5" i="1"/>
  <c r="G45" i="1"/>
  <c r="G20" i="1"/>
  <c r="G21" i="1"/>
  <c r="G52" i="1"/>
  <c r="G40" i="1"/>
  <c r="G28" i="1"/>
  <c r="G4" i="1"/>
  <c r="G63" i="1"/>
  <c r="G51" i="1"/>
  <c r="G39" i="1"/>
  <c r="G27" i="1"/>
  <c r="G15" i="1"/>
  <c r="G3" i="1"/>
  <c r="G57" i="1"/>
  <c r="G56" i="1"/>
  <c r="G2" i="1"/>
  <c r="G64" i="1"/>
  <c r="G16" i="1"/>
  <c r="G62" i="1"/>
  <c r="G50" i="1"/>
  <c r="G38" i="1"/>
  <c r="G26" i="1"/>
  <c r="G14" i="1"/>
  <c r="G33" i="1"/>
  <c r="G44" i="1"/>
  <c r="G8" i="1"/>
  <c r="G55" i="1"/>
  <c r="G43" i="1"/>
  <c r="G7" i="1"/>
  <c r="G41" i="1"/>
  <c r="G61" i="1"/>
  <c r="G49" i="1"/>
  <c r="G37" i="1"/>
  <c r="G25" i="1"/>
  <c r="G1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2" i="1"/>
</calcChain>
</file>

<file path=xl/sharedStrings.xml><?xml version="1.0" encoding="utf-8"?>
<sst xmlns="http://schemas.openxmlformats.org/spreadsheetml/2006/main" count="75" uniqueCount="72">
  <si>
    <t>july</t>
  </si>
  <si>
    <t>S NO.</t>
  </si>
  <si>
    <t>MAY</t>
  </si>
  <si>
    <t>PER OUT OF 23 WORKING DAY</t>
  </si>
  <si>
    <t>TOAL FROM APR</t>
  </si>
  <si>
    <t>PER OUT OF 39 WORKING DAY</t>
  </si>
  <si>
    <t>PER OUT OF 65 WORKING DAY</t>
  </si>
  <si>
    <t>AUG</t>
  </si>
  <si>
    <t>PER OUT OF 87 WORKING DAY</t>
  </si>
  <si>
    <t>STUDENT NAME</t>
  </si>
  <si>
    <t>ABHIMANYU YADAV</t>
  </si>
  <si>
    <t>ABHISHEK GUPTA</t>
  </si>
  <si>
    <t>ABHISHEK KUMAR</t>
  </si>
  <si>
    <t>AJIT KUMAR</t>
  </si>
  <si>
    <t>AKEEB AHMAD</t>
  </si>
  <si>
    <t>ANKIT KUMAR SHARMA</t>
  </si>
  <si>
    <t>ANMOL KUMAR</t>
  </si>
  <si>
    <t>ANSHUL KUMAR</t>
  </si>
  <si>
    <t>ANURAG GUPTA</t>
  </si>
  <si>
    <t>ASHUTOSH YADAV</t>
  </si>
  <si>
    <t>AWDHESH KUMAR</t>
  </si>
  <si>
    <t>AYUSH KUMAR</t>
  </si>
  <si>
    <t>CHANDAN KUMAR</t>
  </si>
  <si>
    <t>DEEPAK YADAV</t>
  </si>
  <si>
    <t>GIRDHAR GOPAL</t>
  </si>
  <si>
    <t>KRISHNA KUMAR</t>
  </si>
  <si>
    <t>KUNAL PRATAP SINGH</t>
  </si>
  <si>
    <t>MO. HASIM</t>
  </si>
  <si>
    <t>PUSHPRAJ SHARMA</t>
  </si>
  <si>
    <t>RAHUL KUMAR SINGH</t>
  </si>
  <si>
    <t>ROHIT</t>
  </si>
  <si>
    <t>ROHIT YADAV</t>
  </si>
  <si>
    <t>RUDRAKSH SINGH</t>
  </si>
  <si>
    <t>SATISH KUMAR CHAURASIYA</t>
  </si>
  <si>
    <t>SATYANAND YADAV</t>
  </si>
  <si>
    <t>SHASHIKANT TRIPATHI</t>
  </si>
  <si>
    <t>SHIV SAGAR YADAV</t>
  </si>
  <si>
    <t>SHIVAM</t>
  </si>
  <si>
    <t>SHIVAM CHAURASIA</t>
  </si>
  <si>
    <t>SHIVAM MISHRA</t>
  </si>
  <si>
    <t>SURAJ YADAV</t>
  </si>
  <si>
    <t>VANSH MITTAL</t>
  </si>
  <si>
    <t>VISHAL SINGH</t>
  </si>
  <si>
    <t>VISHNU KANT</t>
  </si>
  <si>
    <t>VIVEK KUMAR SINGH</t>
  </si>
  <si>
    <t>AKRITI</t>
  </si>
  <si>
    <t>ANANDI KUMARI SINGH</t>
  </si>
  <si>
    <t>ANANYA YADAV</t>
  </si>
  <si>
    <t>ANSHU SINGH</t>
  </si>
  <si>
    <t>ANUSHKA YADAV</t>
  </si>
  <si>
    <t>ASTHA SINGH</t>
  </si>
  <si>
    <t>CHANCHAL</t>
  </si>
  <si>
    <t>ISHIKA KUMARI</t>
  </si>
  <si>
    <t>JIVAN JYOTI KUMARI</t>
  </si>
  <si>
    <t>KHUSHI</t>
  </si>
  <si>
    <t>KHUSHI SINGH</t>
  </si>
  <si>
    <t>KUMKUM</t>
  </si>
  <si>
    <t>MARIYAM NOOR</t>
  </si>
  <si>
    <t>MIMANSHA</t>
  </si>
  <si>
    <t>NISHA MISHRA</t>
  </si>
  <si>
    <t>PRITI KUMARI</t>
  </si>
  <si>
    <t>PRIYA KUMARI</t>
  </si>
  <si>
    <t>PURVI KUMARI</t>
  </si>
  <si>
    <t>SANJANA KUMARI RAI</t>
  </si>
  <si>
    <t>SHEESHAM KUMARI</t>
  </si>
  <si>
    <t>SHRUTI PANDEY</t>
  </si>
  <si>
    <t>SHWETA YADAV</t>
  </si>
  <si>
    <t>SNEHLATA BHARATI</t>
  </si>
  <si>
    <t>SUMAIYAH</t>
  </si>
  <si>
    <t>SWATI YADAV</t>
  </si>
  <si>
    <t>TAJMIN BANO</t>
  </si>
  <si>
    <t>UMRA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</si>
</sst>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zoomScale="127" zoomScaleNormal="235" workbookViewId="0">
      <selection activeCell="B2" sqref="B2:B64"/>
    </sheetView>
  </sheetViews>
  <sheetFormatPr defaultRowHeight="14.5" x14ac:dyDescent="0.35"/>
  <cols>
    <col min="2" max="2" width="16" customWidth="1"/>
    <col min="4" max="4" width="11.81640625" bestFit="1" customWidth="1"/>
    <col min="7" max="7" width="11.81640625" bestFit="1" customWidth="1"/>
    <col min="10" max="10" width="11.81640625" bestFit="1" customWidth="1"/>
    <col min="13" max="13" width="11.81640625" bestFit="1" customWidth="1"/>
  </cols>
  <sheetData>
    <row r="1" spans="1:13" x14ac:dyDescent="0.35">
      <c r="A1" t="s">
        <v>1</v>
      </c>
      <c r="B1" t="s">
        <v>9</v>
      </c>
      <c r="C1" s="1">
        <v>46113</v>
      </c>
      <c r="D1" t="s">
        <v>3</v>
      </c>
      <c r="E1" t="s">
        <v>2</v>
      </c>
      <c r="F1" t="s">
        <v>4</v>
      </c>
      <c r="G1" t="s">
        <v>5</v>
      </c>
      <c r="H1" t="s">
        <v>0</v>
      </c>
      <c r="I1" t="s">
        <v>4</v>
      </c>
      <c r="J1" t="s">
        <v>6</v>
      </c>
      <c r="K1" t="s">
        <v>7</v>
      </c>
      <c r="L1" t="s">
        <v>4</v>
      </c>
      <c r="M1" t="s">
        <v>8</v>
      </c>
    </row>
    <row r="2" spans="1:13" x14ac:dyDescent="0.35">
      <c r="A2">
        <v>1</v>
      </c>
      <c r="B2" t="s">
        <v>10</v>
      </c>
      <c r="C2">
        <v>7</v>
      </c>
      <c r="D2">
        <f>C2/23*100</f>
        <v>30.434782608695656</v>
      </c>
      <c r="E2">
        <v>9</v>
      </c>
      <c r="F2">
        <f>C2+E2</f>
        <v>16</v>
      </c>
      <c r="G2">
        <f>F2/39*100</f>
        <v>41.025641025641022</v>
      </c>
      <c r="H2">
        <v>14</v>
      </c>
      <c r="I2">
        <f>F2+H2</f>
        <v>30</v>
      </c>
      <c r="J2">
        <f>(I2/65)*100</f>
        <v>46.153846153846153</v>
      </c>
      <c r="K2">
        <v>8</v>
      </c>
      <c r="L2">
        <f>I2+K2</f>
        <v>38</v>
      </c>
      <c r="M2">
        <f>(L2/87)*100</f>
        <v>43.678160919540232</v>
      </c>
    </row>
    <row r="3" spans="1:13" x14ac:dyDescent="0.35">
      <c r="A3">
        <v>2</v>
      </c>
      <c r="B3" t="s">
        <v>11</v>
      </c>
      <c r="C3">
        <v>17</v>
      </c>
      <c r="D3">
        <f>C3/23*100</f>
        <v>73.91304347826086</v>
      </c>
      <c r="E3">
        <v>14</v>
      </c>
      <c r="F3">
        <f>C3+E3</f>
        <v>31</v>
      </c>
      <c r="G3">
        <f>F3/39*100</f>
        <v>79.487179487179489</v>
      </c>
      <c r="H3">
        <v>14</v>
      </c>
      <c r="I3">
        <f>F3+H3</f>
        <v>45</v>
      </c>
      <c r="J3">
        <f>(I3/65)*100</f>
        <v>69.230769230769226</v>
      </c>
      <c r="K3">
        <v>18</v>
      </c>
      <c r="L3">
        <f>I3+K3</f>
        <v>63</v>
      </c>
      <c r="M3">
        <f>(L3/87)*100</f>
        <v>72.41379310344827</v>
      </c>
    </row>
    <row r="4" spans="1:13" x14ac:dyDescent="0.35">
      <c r="A4">
        <v>3</v>
      </c>
      <c r="B4" t="s">
        <v>12</v>
      </c>
      <c r="C4">
        <v>19</v>
      </c>
      <c r="D4">
        <f>C4/23*100</f>
        <v>82.608695652173907</v>
      </c>
      <c r="E4">
        <v>13</v>
      </c>
      <c r="F4">
        <f>C4+E4</f>
        <v>32</v>
      </c>
      <c r="G4">
        <f>F4/39*100</f>
        <v>82.051282051282044</v>
      </c>
      <c r="H4">
        <v>19</v>
      </c>
      <c r="I4">
        <f>F4+H4</f>
        <v>51</v>
      </c>
      <c r="J4">
        <f>(I4/65)*100</f>
        <v>78.461538461538467</v>
      </c>
      <c r="K4">
        <v>16</v>
      </c>
      <c r="L4">
        <f>I4+K4</f>
        <v>67</v>
      </c>
      <c r="M4">
        <f>(L4/87)*100</f>
        <v>77.011494252873561</v>
      </c>
    </row>
    <row r="5" spans="1:13" x14ac:dyDescent="0.35">
      <c r="A5">
        <v>4</v>
      </c>
      <c r="B5" t="s">
        <v>13</v>
      </c>
      <c r="C5">
        <v>18</v>
      </c>
      <c r="D5">
        <f>C5/23*100</f>
        <v>78.260869565217391</v>
      </c>
      <c r="E5">
        <v>15</v>
      </c>
      <c r="F5">
        <f>C5+E5</f>
        <v>33</v>
      </c>
      <c r="G5">
        <f>F5/39*100</f>
        <v>84.615384615384613</v>
      </c>
      <c r="H5">
        <v>24</v>
      </c>
      <c r="I5">
        <f>F5+H5</f>
        <v>57</v>
      </c>
      <c r="J5">
        <f>(I5/65)*100</f>
        <v>87.692307692307693</v>
      </c>
      <c r="K5">
        <v>15</v>
      </c>
      <c r="L5">
        <f>I5+K5</f>
        <v>72</v>
      </c>
      <c r="M5">
        <f>(L5/87)*100</f>
        <v>82.758620689655174</v>
      </c>
    </row>
    <row r="6" spans="1:13" x14ac:dyDescent="0.35">
      <c r="A6">
        <v>5</v>
      </c>
      <c r="B6" t="s">
        <v>14</v>
      </c>
      <c r="C6">
        <v>10</v>
      </c>
      <c r="D6">
        <f>C6/23*100</f>
        <v>43.478260869565219</v>
      </c>
      <c r="E6">
        <v>14</v>
      </c>
      <c r="F6">
        <f>C6+E6</f>
        <v>24</v>
      </c>
      <c r="G6">
        <f>F6/39*100</f>
        <v>61.53846153846154</v>
      </c>
      <c r="H6">
        <v>20</v>
      </c>
      <c r="I6">
        <f>F6+H6</f>
        <v>44</v>
      </c>
      <c r="J6">
        <f>(I6/65)*100</f>
        <v>67.692307692307693</v>
      </c>
      <c r="K6">
        <v>20</v>
      </c>
      <c r="L6">
        <f>I6+K6</f>
        <v>64</v>
      </c>
      <c r="M6">
        <f>(L6/87)*100</f>
        <v>73.563218390804593</v>
      </c>
    </row>
    <row r="7" spans="1:13" x14ac:dyDescent="0.35">
      <c r="A7">
        <v>6</v>
      </c>
      <c r="B7" t="s">
        <v>15</v>
      </c>
      <c r="C7">
        <v>21</v>
      </c>
      <c r="D7">
        <f>C7/23*100</f>
        <v>91.304347826086953</v>
      </c>
      <c r="E7">
        <v>9</v>
      </c>
      <c r="F7">
        <f>C7+E7</f>
        <v>30</v>
      </c>
      <c r="G7">
        <f>F7/39*100</f>
        <v>76.923076923076934</v>
      </c>
      <c r="H7">
        <v>24</v>
      </c>
      <c r="I7">
        <f>F7+H7</f>
        <v>54</v>
      </c>
      <c r="J7">
        <f>(I7/65)*100</f>
        <v>83.07692307692308</v>
      </c>
      <c r="K7">
        <v>20</v>
      </c>
      <c r="L7">
        <f>I7+K7</f>
        <v>74</v>
      </c>
      <c r="M7">
        <f>(L7/87)*100</f>
        <v>85.057471264367805</v>
      </c>
    </row>
    <row r="8" spans="1:13" x14ac:dyDescent="0.35">
      <c r="A8">
        <v>7</v>
      </c>
      <c r="B8" t="s">
        <v>16</v>
      </c>
      <c r="C8">
        <v>18</v>
      </c>
      <c r="D8">
        <f>C8/23*100</f>
        <v>78.260869565217391</v>
      </c>
      <c r="E8">
        <v>10</v>
      </c>
      <c r="F8">
        <f>C8+E8</f>
        <v>28</v>
      </c>
      <c r="G8">
        <f>F8/39*100</f>
        <v>71.794871794871796</v>
      </c>
      <c r="H8">
        <v>22</v>
      </c>
      <c r="I8">
        <f>F8+H8</f>
        <v>50</v>
      </c>
      <c r="J8">
        <f>(I8/65)*100</f>
        <v>76.923076923076934</v>
      </c>
      <c r="K8">
        <v>17</v>
      </c>
      <c r="L8">
        <f>I8+K8</f>
        <v>67</v>
      </c>
      <c r="M8">
        <f>(L8/87)*100</f>
        <v>77.011494252873561</v>
      </c>
    </row>
    <row r="9" spans="1:13" x14ac:dyDescent="0.35">
      <c r="A9">
        <v>8</v>
      </c>
      <c r="B9" t="s">
        <v>17</v>
      </c>
      <c r="C9">
        <v>21</v>
      </c>
      <c r="D9">
        <f>C9/23*100</f>
        <v>91.304347826086953</v>
      </c>
      <c r="E9">
        <v>15</v>
      </c>
      <c r="F9">
        <f>C9+E9</f>
        <v>36</v>
      </c>
      <c r="G9">
        <f>F9/39*100</f>
        <v>92.307692307692307</v>
      </c>
      <c r="H9">
        <v>22</v>
      </c>
      <c r="I9">
        <f>F9+H9</f>
        <v>58</v>
      </c>
      <c r="J9">
        <f>(I9/65)*100</f>
        <v>89.230769230769241</v>
      </c>
      <c r="K9">
        <v>19</v>
      </c>
      <c r="L9">
        <f>I9+K9</f>
        <v>77</v>
      </c>
      <c r="M9">
        <f>(L9/87)*100</f>
        <v>88.505747126436788</v>
      </c>
    </row>
    <row r="10" spans="1:13" x14ac:dyDescent="0.35">
      <c r="A10">
        <v>9</v>
      </c>
      <c r="B10" t="s">
        <v>18</v>
      </c>
      <c r="C10">
        <v>0</v>
      </c>
      <c r="D10">
        <f>C10/23*100</f>
        <v>0</v>
      </c>
      <c r="E10">
        <v>16</v>
      </c>
      <c r="F10">
        <f>C10+E10</f>
        <v>16</v>
      </c>
      <c r="G10">
        <f>F10/39*100</f>
        <v>41.025641025641022</v>
      </c>
      <c r="H10">
        <v>26</v>
      </c>
      <c r="I10">
        <f>F10+H10</f>
        <v>42</v>
      </c>
      <c r="J10">
        <f>(I10/65)*100</f>
        <v>64.615384615384613</v>
      </c>
      <c r="K10">
        <v>20</v>
      </c>
      <c r="L10">
        <f>I10+K10</f>
        <v>62</v>
      </c>
      <c r="M10">
        <f>(L10/87)*100</f>
        <v>71.264367816091962</v>
      </c>
    </row>
    <row r="11" spans="1:13" x14ac:dyDescent="0.35">
      <c r="A11">
        <v>10</v>
      </c>
      <c r="B11" t="s">
        <v>19</v>
      </c>
      <c r="C11">
        <v>23</v>
      </c>
      <c r="D11">
        <f>C11/23*100</f>
        <v>100</v>
      </c>
      <c r="E11">
        <v>16</v>
      </c>
      <c r="F11">
        <f>C11+E11</f>
        <v>39</v>
      </c>
      <c r="G11">
        <f>F11/39*100</f>
        <v>100</v>
      </c>
      <c r="H11">
        <v>25</v>
      </c>
      <c r="I11">
        <f>F11+H11</f>
        <v>64</v>
      </c>
      <c r="J11">
        <f>(I11/65)*100</f>
        <v>98.461538461538467</v>
      </c>
      <c r="K11">
        <v>20</v>
      </c>
      <c r="L11">
        <f>I11+K11</f>
        <v>84</v>
      </c>
      <c r="M11">
        <f>(L11/87)*100</f>
        <v>96.551724137931032</v>
      </c>
    </row>
    <row r="12" spans="1:13" x14ac:dyDescent="0.35">
      <c r="A12">
        <v>11</v>
      </c>
      <c r="B12" t="s">
        <v>20</v>
      </c>
      <c r="C12">
        <v>15</v>
      </c>
      <c r="D12">
        <f>C12/23*100</f>
        <v>65.217391304347828</v>
      </c>
      <c r="E12">
        <v>10</v>
      </c>
      <c r="F12">
        <f>C12+E12</f>
        <v>25</v>
      </c>
      <c r="G12">
        <f>F12/39*100</f>
        <v>64.102564102564102</v>
      </c>
      <c r="H12">
        <v>21</v>
      </c>
      <c r="I12">
        <f>F12+H12</f>
        <v>46</v>
      </c>
      <c r="J12">
        <f>(I12/65)*100</f>
        <v>70.769230769230774</v>
      </c>
      <c r="K12">
        <v>20</v>
      </c>
      <c r="L12">
        <f>I12+K12</f>
        <v>66</v>
      </c>
      <c r="M12">
        <f>(L12/87)*100</f>
        <v>75.862068965517238</v>
      </c>
    </row>
    <row r="13" spans="1:13" x14ac:dyDescent="0.35">
      <c r="A13">
        <v>12</v>
      </c>
      <c r="B13" t="s">
        <v>21</v>
      </c>
      <c r="C13">
        <v>21</v>
      </c>
      <c r="D13">
        <f>C13/23*100</f>
        <v>91.304347826086953</v>
      </c>
      <c r="E13">
        <v>15</v>
      </c>
      <c r="F13">
        <f>C13+E13</f>
        <v>36</v>
      </c>
      <c r="G13">
        <f>F13/39*100</f>
        <v>92.307692307692307</v>
      </c>
      <c r="H13">
        <v>26</v>
      </c>
      <c r="I13">
        <f>F13+H13</f>
        <v>62</v>
      </c>
      <c r="J13">
        <f>(I13/65)*100</f>
        <v>95.384615384615387</v>
      </c>
      <c r="K13">
        <v>22</v>
      </c>
      <c r="L13">
        <f>I13+K13</f>
        <v>84</v>
      </c>
      <c r="M13">
        <f>(L13/87)*100</f>
        <v>96.551724137931032</v>
      </c>
    </row>
    <row r="14" spans="1:13" x14ac:dyDescent="0.35">
      <c r="A14">
        <v>13</v>
      </c>
      <c r="B14" t="s">
        <v>21</v>
      </c>
      <c r="C14">
        <v>23</v>
      </c>
      <c r="D14">
        <f>C14/23*100</f>
        <v>100</v>
      </c>
      <c r="E14">
        <v>16</v>
      </c>
      <c r="F14">
        <f>C14+E14</f>
        <v>39</v>
      </c>
      <c r="G14">
        <f>F14/39*100</f>
        <v>100</v>
      </c>
      <c r="H14">
        <v>25</v>
      </c>
      <c r="I14">
        <f>F14+H14</f>
        <v>64</v>
      </c>
      <c r="J14">
        <f>(I14/65)*100</f>
        <v>98.461538461538467</v>
      </c>
      <c r="K14">
        <v>22</v>
      </c>
      <c r="L14">
        <f>I14+K14</f>
        <v>86</v>
      </c>
      <c r="M14">
        <f>(L14/87)*100</f>
        <v>98.850574712643677</v>
      </c>
    </row>
    <row r="15" spans="1:13" x14ac:dyDescent="0.35">
      <c r="A15">
        <v>14</v>
      </c>
      <c r="B15" t="s">
        <v>22</v>
      </c>
      <c r="C15">
        <v>11</v>
      </c>
      <c r="D15">
        <f>C15/23*100</f>
        <v>47.826086956521742</v>
      </c>
      <c r="E15">
        <v>8</v>
      </c>
      <c r="F15">
        <f>C15+E15</f>
        <v>19</v>
      </c>
      <c r="G15">
        <f>F15/39*100</f>
        <v>48.717948717948715</v>
      </c>
      <c r="H15">
        <v>16</v>
      </c>
      <c r="I15">
        <f>F15+H15</f>
        <v>35</v>
      </c>
      <c r="J15">
        <f>(I15/65)*100</f>
        <v>53.846153846153847</v>
      </c>
      <c r="K15">
        <v>12</v>
      </c>
      <c r="L15">
        <f>I15+K15</f>
        <v>47</v>
      </c>
      <c r="M15">
        <f>(L15/87)*100</f>
        <v>54.022988505747129</v>
      </c>
    </row>
    <row r="16" spans="1:13" x14ac:dyDescent="0.35">
      <c r="A16">
        <v>15</v>
      </c>
      <c r="B16" t="s">
        <v>23</v>
      </c>
      <c r="C16">
        <v>22</v>
      </c>
      <c r="D16">
        <f>C16/23*100</f>
        <v>95.652173913043484</v>
      </c>
      <c r="E16">
        <v>14</v>
      </c>
      <c r="F16">
        <f>C16+E16</f>
        <v>36</v>
      </c>
      <c r="G16">
        <f>F16/39*100</f>
        <v>92.307692307692307</v>
      </c>
      <c r="H16">
        <v>26</v>
      </c>
      <c r="I16">
        <f>F16+H16</f>
        <v>62</v>
      </c>
      <c r="J16">
        <f>(I16/65)*100</f>
        <v>95.384615384615387</v>
      </c>
      <c r="K16">
        <v>22</v>
      </c>
      <c r="L16">
        <f>I16+K16</f>
        <v>84</v>
      </c>
      <c r="M16">
        <f>(L16/87)*100</f>
        <v>96.551724137931032</v>
      </c>
    </row>
    <row r="17" spans="1:13" x14ac:dyDescent="0.35">
      <c r="A17">
        <v>16</v>
      </c>
      <c r="B17" t="s">
        <v>24</v>
      </c>
      <c r="C17">
        <v>19</v>
      </c>
      <c r="D17">
        <f>C17/23*100</f>
        <v>82.608695652173907</v>
      </c>
      <c r="E17">
        <v>16</v>
      </c>
      <c r="F17">
        <f>C17+E17</f>
        <v>35</v>
      </c>
      <c r="G17">
        <f>F17/39*100</f>
        <v>89.743589743589752</v>
      </c>
      <c r="H17">
        <v>20</v>
      </c>
      <c r="I17">
        <f>F17+H17</f>
        <v>55</v>
      </c>
      <c r="J17">
        <f>(I17/65)*100</f>
        <v>84.615384615384613</v>
      </c>
      <c r="K17">
        <v>19</v>
      </c>
      <c r="L17">
        <f>I17+K17</f>
        <v>74</v>
      </c>
      <c r="M17">
        <f>(L17/87)*100</f>
        <v>85.057471264367805</v>
      </c>
    </row>
    <row r="18" spans="1:13" x14ac:dyDescent="0.35">
      <c r="A18">
        <v>17</v>
      </c>
      <c r="B18" t="s">
        <v>25</v>
      </c>
      <c r="C18">
        <v>15</v>
      </c>
      <c r="D18">
        <f>C18/23*100</f>
        <v>65.217391304347828</v>
      </c>
      <c r="E18">
        <v>9</v>
      </c>
      <c r="F18">
        <f>C18+E18</f>
        <v>24</v>
      </c>
      <c r="G18">
        <f>F18/39*100</f>
        <v>61.53846153846154</v>
      </c>
      <c r="H18">
        <v>20</v>
      </c>
      <c r="I18">
        <f>F18+H18</f>
        <v>44</v>
      </c>
      <c r="J18">
        <f>(I18/65)*100</f>
        <v>67.692307692307693</v>
      </c>
      <c r="K18">
        <v>19</v>
      </c>
      <c r="L18">
        <f>I18+K18</f>
        <v>63</v>
      </c>
      <c r="M18">
        <f>(L18/87)*100</f>
        <v>72.41379310344827</v>
      </c>
    </row>
    <row r="19" spans="1:13" x14ac:dyDescent="0.35">
      <c r="A19">
        <v>18</v>
      </c>
      <c r="B19" t="s">
        <v>26</v>
      </c>
      <c r="C19">
        <v>16</v>
      </c>
      <c r="D19">
        <f>C19/23*100</f>
        <v>69.565217391304344</v>
      </c>
      <c r="E19">
        <v>12</v>
      </c>
      <c r="F19">
        <f>C19+E19</f>
        <v>28</v>
      </c>
      <c r="G19">
        <f>F19/39*100</f>
        <v>71.794871794871796</v>
      </c>
      <c r="H19">
        <v>21</v>
      </c>
      <c r="I19">
        <f>F19+H19</f>
        <v>49</v>
      </c>
      <c r="J19">
        <f>(I19/65)*100</f>
        <v>75.384615384615387</v>
      </c>
      <c r="K19">
        <v>17</v>
      </c>
      <c r="L19">
        <f>I19+K19</f>
        <v>66</v>
      </c>
      <c r="M19">
        <f>(L19/87)*100</f>
        <v>75.862068965517238</v>
      </c>
    </row>
    <row r="20" spans="1:13" x14ac:dyDescent="0.35">
      <c r="A20">
        <v>19</v>
      </c>
      <c r="B20" t="s">
        <v>27</v>
      </c>
      <c r="C20">
        <v>17</v>
      </c>
      <c r="D20">
        <f>C20/23*100</f>
        <v>73.91304347826086</v>
      </c>
      <c r="E20">
        <v>11</v>
      </c>
      <c r="F20">
        <f>C20+E20</f>
        <v>28</v>
      </c>
      <c r="G20">
        <f>F20/39*100</f>
        <v>71.794871794871796</v>
      </c>
      <c r="H20">
        <v>23</v>
      </c>
      <c r="I20">
        <f>F20+H20</f>
        <v>51</v>
      </c>
      <c r="J20">
        <f>(I20/65)*100</f>
        <v>78.461538461538467</v>
      </c>
      <c r="K20">
        <v>10</v>
      </c>
      <c r="L20">
        <f>I20+K20</f>
        <v>61</v>
      </c>
      <c r="M20">
        <f>(L20/87)*100</f>
        <v>70.114942528735639</v>
      </c>
    </row>
    <row r="21" spans="1:13" x14ac:dyDescent="0.35">
      <c r="A21">
        <v>20</v>
      </c>
      <c r="B21" t="s">
        <v>28</v>
      </c>
      <c r="C21">
        <v>20</v>
      </c>
      <c r="D21">
        <f>C21/23*100</f>
        <v>86.956521739130437</v>
      </c>
      <c r="E21">
        <v>16</v>
      </c>
      <c r="F21">
        <f>C21+E21</f>
        <v>36</v>
      </c>
      <c r="G21">
        <f>F21/39*100</f>
        <v>92.307692307692307</v>
      </c>
      <c r="H21">
        <v>25</v>
      </c>
      <c r="I21">
        <f>F21+H21</f>
        <v>61</v>
      </c>
      <c r="J21">
        <f>(I21/65)*100</f>
        <v>93.84615384615384</v>
      </c>
      <c r="K21">
        <v>20</v>
      </c>
      <c r="L21">
        <f>I21+K21</f>
        <v>81</v>
      </c>
      <c r="M21">
        <f>(L21/87)*100</f>
        <v>93.103448275862064</v>
      </c>
    </row>
    <row r="22" spans="1:13" x14ac:dyDescent="0.35">
      <c r="A22">
        <v>21</v>
      </c>
      <c r="B22" t="s">
        <v>29</v>
      </c>
      <c r="C22">
        <v>23</v>
      </c>
      <c r="D22">
        <f>C22/23*100</f>
        <v>100</v>
      </c>
      <c r="E22">
        <v>15</v>
      </c>
      <c r="F22">
        <f>C22+E22</f>
        <v>38</v>
      </c>
      <c r="G22">
        <f>F22/39*100</f>
        <v>97.435897435897431</v>
      </c>
      <c r="H22">
        <v>26</v>
      </c>
      <c r="I22">
        <f>F22+H22</f>
        <v>64</v>
      </c>
      <c r="J22">
        <f>(I22/65)*100</f>
        <v>98.461538461538467</v>
      </c>
      <c r="K22">
        <v>22</v>
      </c>
      <c r="L22">
        <f>I22+K22</f>
        <v>86</v>
      </c>
      <c r="M22">
        <f>(L22/87)*100</f>
        <v>98.850574712643677</v>
      </c>
    </row>
    <row r="23" spans="1:13" x14ac:dyDescent="0.35">
      <c r="A23">
        <v>22</v>
      </c>
      <c r="B23" t="s">
        <v>30</v>
      </c>
      <c r="C23">
        <v>23</v>
      </c>
      <c r="D23">
        <f>C23/23*100</f>
        <v>100</v>
      </c>
      <c r="E23">
        <v>16</v>
      </c>
      <c r="F23">
        <f>C23+E23</f>
        <v>39</v>
      </c>
      <c r="G23">
        <f>F23/39*100</f>
        <v>100</v>
      </c>
      <c r="H23">
        <v>26</v>
      </c>
      <c r="I23">
        <f>F23+H23</f>
        <v>65</v>
      </c>
      <c r="J23">
        <f>(I23/65)*100</f>
        <v>100</v>
      </c>
      <c r="K23">
        <v>22</v>
      </c>
      <c r="L23">
        <f>I23+K23</f>
        <v>87</v>
      </c>
      <c r="M23">
        <f>(L23/87)*100</f>
        <v>100</v>
      </c>
    </row>
    <row r="24" spans="1:13" x14ac:dyDescent="0.35">
      <c r="A24">
        <v>23</v>
      </c>
      <c r="B24" t="s">
        <v>31</v>
      </c>
      <c r="C24">
        <v>10</v>
      </c>
      <c r="D24">
        <f>C24/23*100</f>
        <v>43.478260869565219</v>
      </c>
      <c r="E24">
        <v>7</v>
      </c>
      <c r="F24">
        <f>C24+E24</f>
        <v>17</v>
      </c>
      <c r="G24">
        <f>F24/39*100</f>
        <v>43.589743589743591</v>
      </c>
      <c r="H24">
        <v>19</v>
      </c>
      <c r="I24">
        <f>F24+H24</f>
        <v>36</v>
      </c>
      <c r="J24">
        <f>(I24/65)*100</f>
        <v>55.384615384615387</v>
      </c>
      <c r="K24">
        <v>14</v>
      </c>
      <c r="L24">
        <f>I24+K24</f>
        <v>50</v>
      </c>
      <c r="M24">
        <f>(L24/87)*100</f>
        <v>57.47126436781609</v>
      </c>
    </row>
    <row r="25" spans="1:13" x14ac:dyDescent="0.35">
      <c r="A25">
        <v>24</v>
      </c>
      <c r="B25" t="s">
        <v>32</v>
      </c>
      <c r="C25">
        <v>21</v>
      </c>
      <c r="D25">
        <f>C25/23*100</f>
        <v>91.304347826086953</v>
      </c>
      <c r="E25">
        <v>15</v>
      </c>
      <c r="F25">
        <f>C25+E25</f>
        <v>36</v>
      </c>
      <c r="G25">
        <f>F25/39*100</f>
        <v>92.307692307692307</v>
      </c>
      <c r="H25">
        <v>23</v>
      </c>
      <c r="I25">
        <f>F25+H25</f>
        <v>59</v>
      </c>
      <c r="J25">
        <f>(I25/65)*100</f>
        <v>90.769230769230774</v>
      </c>
      <c r="K25">
        <v>21</v>
      </c>
      <c r="L25">
        <f>I25+K25</f>
        <v>80</v>
      </c>
      <c r="M25">
        <f>(L25/87)*100</f>
        <v>91.954022988505741</v>
      </c>
    </row>
    <row r="26" spans="1:13" x14ac:dyDescent="0.35">
      <c r="A26">
        <v>25</v>
      </c>
      <c r="B26" t="s">
        <v>33</v>
      </c>
      <c r="C26">
        <v>19</v>
      </c>
      <c r="D26">
        <f>C26/23*100</f>
        <v>82.608695652173907</v>
      </c>
      <c r="E26">
        <v>14</v>
      </c>
      <c r="F26">
        <f>C26+E26</f>
        <v>33</v>
      </c>
      <c r="G26">
        <f>F26/39*100</f>
        <v>84.615384615384613</v>
      </c>
      <c r="H26">
        <v>26</v>
      </c>
      <c r="I26">
        <f>F26+H26</f>
        <v>59</v>
      </c>
      <c r="J26">
        <f>(I26/65)*100</f>
        <v>90.769230769230774</v>
      </c>
      <c r="K26">
        <v>13</v>
      </c>
      <c r="L26">
        <f>I26+K26</f>
        <v>72</v>
      </c>
      <c r="M26">
        <f>(L26/87)*100</f>
        <v>82.758620689655174</v>
      </c>
    </row>
    <row r="27" spans="1:13" x14ac:dyDescent="0.35">
      <c r="A27">
        <v>26</v>
      </c>
      <c r="B27" t="s">
        <v>34</v>
      </c>
      <c r="C27">
        <v>21</v>
      </c>
      <c r="D27">
        <f>C27/23*100</f>
        <v>91.304347826086953</v>
      </c>
      <c r="E27">
        <v>15</v>
      </c>
      <c r="F27">
        <f>C27+E27</f>
        <v>36</v>
      </c>
      <c r="G27">
        <f>F27/39*100</f>
        <v>92.307692307692307</v>
      </c>
      <c r="H27">
        <v>25</v>
      </c>
      <c r="I27">
        <f>F27+H27</f>
        <v>61</v>
      </c>
      <c r="J27">
        <f>(I27/65)*100</f>
        <v>93.84615384615384</v>
      </c>
      <c r="K27">
        <v>22</v>
      </c>
      <c r="L27">
        <f>I27+K27</f>
        <v>83</v>
      </c>
      <c r="M27">
        <f>(L27/87)*100</f>
        <v>95.402298850574709</v>
      </c>
    </row>
    <row r="28" spans="1:13" x14ac:dyDescent="0.35">
      <c r="A28">
        <v>27</v>
      </c>
      <c r="B28" t="s">
        <v>35</v>
      </c>
      <c r="C28">
        <v>17</v>
      </c>
      <c r="D28">
        <f>C28/23*100</f>
        <v>73.91304347826086</v>
      </c>
      <c r="E28">
        <v>12</v>
      </c>
      <c r="F28">
        <f>C28+E28</f>
        <v>29</v>
      </c>
      <c r="G28">
        <f>F28/39*100</f>
        <v>74.358974358974365</v>
      </c>
      <c r="H28">
        <v>26</v>
      </c>
      <c r="I28">
        <f>F28+H28</f>
        <v>55</v>
      </c>
      <c r="J28">
        <f>(I28/65)*100</f>
        <v>84.615384615384613</v>
      </c>
      <c r="K28">
        <v>21</v>
      </c>
      <c r="L28">
        <f>I28+K28</f>
        <v>76</v>
      </c>
      <c r="M28">
        <f>(L28/87)*100</f>
        <v>87.356321839080465</v>
      </c>
    </row>
    <row r="29" spans="1:13" x14ac:dyDescent="0.35">
      <c r="A29">
        <v>28</v>
      </c>
      <c r="B29" t="s">
        <v>36</v>
      </c>
      <c r="C29">
        <v>19</v>
      </c>
      <c r="D29">
        <f>C29/23*100</f>
        <v>82.608695652173907</v>
      </c>
      <c r="E29">
        <v>14</v>
      </c>
      <c r="F29">
        <f>C29+E29</f>
        <v>33</v>
      </c>
      <c r="G29">
        <f>F29/39*100</f>
        <v>84.615384615384613</v>
      </c>
      <c r="H29">
        <v>25</v>
      </c>
      <c r="I29">
        <f>F29+H29</f>
        <v>58</v>
      </c>
      <c r="J29">
        <f>(I29/65)*100</f>
        <v>89.230769230769241</v>
      </c>
      <c r="K29">
        <v>19</v>
      </c>
      <c r="L29">
        <f>I29+K29</f>
        <v>77</v>
      </c>
      <c r="M29">
        <f>(L29/87)*100</f>
        <v>88.505747126436788</v>
      </c>
    </row>
    <row r="30" spans="1:13" x14ac:dyDescent="0.35">
      <c r="A30">
        <v>29</v>
      </c>
      <c r="B30" t="s">
        <v>37</v>
      </c>
      <c r="C30">
        <v>20</v>
      </c>
      <c r="D30">
        <f>C30/23*100</f>
        <v>86.956521739130437</v>
      </c>
      <c r="E30">
        <v>16</v>
      </c>
      <c r="F30">
        <f>C30+E30</f>
        <v>36</v>
      </c>
      <c r="G30">
        <f>F30/39*100</f>
        <v>92.307692307692307</v>
      </c>
      <c r="H30">
        <v>26</v>
      </c>
      <c r="I30">
        <f>F30+H30</f>
        <v>62</v>
      </c>
      <c r="J30">
        <f>(I30/65)*100</f>
        <v>95.384615384615387</v>
      </c>
      <c r="K30">
        <v>22</v>
      </c>
      <c r="L30">
        <f>I30+K30</f>
        <v>84</v>
      </c>
      <c r="M30">
        <f>(L30/87)*100</f>
        <v>96.551724137931032</v>
      </c>
    </row>
    <row r="31" spans="1:13" x14ac:dyDescent="0.35">
      <c r="A31">
        <v>30</v>
      </c>
      <c r="B31" t="s">
        <v>38</v>
      </c>
      <c r="C31">
        <v>16</v>
      </c>
      <c r="D31">
        <f>C31/23*100</f>
        <v>69.565217391304344</v>
      </c>
      <c r="E31">
        <v>11</v>
      </c>
      <c r="F31">
        <f>C31+E31</f>
        <v>27</v>
      </c>
      <c r="G31">
        <f>F31/39*100</f>
        <v>69.230769230769226</v>
      </c>
      <c r="H31">
        <v>26</v>
      </c>
      <c r="I31">
        <f>F31+H31</f>
        <v>53</v>
      </c>
      <c r="J31">
        <f>(I31/65)*100</f>
        <v>81.538461538461533</v>
      </c>
      <c r="K31">
        <v>20</v>
      </c>
      <c r="L31">
        <f>I31+K31</f>
        <v>73</v>
      </c>
      <c r="M31">
        <f>(L31/87)*100</f>
        <v>83.908045977011497</v>
      </c>
    </row>
    <row r="32" spans="1:13" x14ac:dyDescent="0.35">
      <c r="A32">
        <v>31</v>
      </c>
      <c r="B32" t="s">
        <v>39</v>
      </c>
      <c r="C32">
        <v>20</v>
      </c>
      <c r="D32">
        <f>C32/23*100</f>
        <v>86.956521739130437</v>
      </c>
      <c r="E32">
        <v>5</v>
      </c>
      <c r="F32">
        <f>C32+E32</f>
        <v>25</v>
      </c>
      <c r="G32">
        <f>F32/39*100</f>
        <v>64.102564102564102</v>
      </c>
      <c r="H32">
        <v>25</v>
      </c>
      <c r="I32">
        <f>F32+H32</f>
        <v>50</v>
      </c>
      <c r="J32">
        <f>(I32/65)*100</f>
        <v>76.923076923076934</v>
      </c>
      <c r="K32">
        <v>21</v>
      </c>
      <c r="L32">
        <f>I32+K32</f>
        <v>71</v>
      </c>
      <c r="M32">
        <f>(L32/87)*100</f>
        <v>81.609195402298852</v>
      </c>
    </row>
    <row r="33" spans="1:13" x14ac:dyDescent="0.35">
      <c r="A33">
        <v>32</v>
      </c>
      <c r="B33" t="s">
        <v>40</v>
      </c>
      <c r="C33">
        <v>21</v>
      </c>
      <c r="D33">
        <f>C33/23*100</f>
        <v>91.304347826086953</v>
      </c>
      <c r="E33">
        <v>13</v>
      </c>
      <c r="F33">
        <f>C33+E33</f>
        <v>34</v>
      </c>
      <c r="G33">
        <f>F33/39*100</f>
        <v>87.179487179487182</v>
      </c>
      <c r="H33">
        <v>23</v>
      </c>
      <c r="I33">
        <f>F33+H33</f>
        <v>57</v>
      </c>
      <c r="J33">
        <f>(I33/65)*100</f>
        <v>87.692307692307693</v>
      </c>
      <c r="K33">
        <v>18</v>
      </c>
      <c r="L33">
        <f>I33+K33</f>
        <v>75</v>
      </c>
      <c r="M33">
        <f>(L33/87)*100</f>
        <v>86.206896551724128</v>
      </c>
    </row>
    <row r="34" spans="1:13" x14ac:dyDescent="0.35">
      <c r="A34">
        <v>33</v>
      </c>
      <c r="B34" t="s">
        <v>41</v>
      </c>
      <c r="C34">
        <v>23</v>
      </c>
      <c r="D34">
        <f>C34/23*100</f>
        <v>100</v>
      </c>
      <c r="E34">
        <v>16</v>
      </c>
      <c r="F34">
        <f>C34+E34</f>
        <v>39</v>
      </c>
      <c r="G34">
        <f>F34/39*100</f>
        <v>100</v>
      </c>
      <c r="H34">
        <v>26</v>
      </c>
      <c r="I34">
        <f>F34+H34</f>
        <v>65</v>
      </c>
      <c r="J34">
        <f>(I34/65)*100</f>
        <v>100</v>
      </c>
      <c r="K34">
        <v>22</v>
      </c>
      <c r="L34">
        <f>I34+K34</f>
        <v>87</v>
      </c>
      <c r="M34">
        <f>(L34/87)*100</f>
        <v>100</v>
      </c>
    </row>
    <row r="35" spans="1:13" x14ac:dyDescent="0.35">
      <c r="A35">
        <v>34</v>
      </c>
      <c r="B35" t="s">
        <v>42</v>
      </c>
      <c r="C35">
        <v>19</v>
      </c>
      <c r="D35">
        <f>C35/23*100</f>
        <v>82.608695652173907</v>
      </c>
      <c r="E35">
        <v>14</v>
      </c>
      <c r="F35">
        <f>C35+E35</f>
        <v>33</v>
      </c>
      <c r="G35">
        <f>F35/39*100</f>
        <v>84.615384615384613</v>
      </c>
      <c r="H35">
        <v>26</v>
      </c>
      <c r="I35">
        <f>F35+H35</f>
        <v>59</v>
      </c>
      <c r="J35">
        <f>(I35/65)*100</f>
        <v>90.769230769230774</v>
      </c>
      <c r="K35">
        <v>22</v>
      </c>
      <c r="L35">
        <f>I35+K35</f>
        <v>81</v>
      </c>
      <c r="M35">
        <f>(L35/87)*100</f>
        <v>93.103448275862064</v>
      </c>
    </row>
    <row r="36" spans="1:13" x14ac:dyDescent="0.35">
      <c r="A36">
        <v>35</v>
      </c>
      <c r="B36" t="s">
        <v>43</v>
      </c>
      <c r="C36">
        <v>18</v>
      </c>
      <c r="D36">
        <f>C36/23*100</f>
        <v>78.260869565217391</v>
      </c>
      <c r="E36">
        <v>13</v>
      </c>
      <c r="F36">
        <f>C36+E36</f>
        <v>31</v>
      </c>
      <c r="G36">
        <f>F36/39*100</f>
        <v>79.487179487179489</v>
      </c>
      <c r="H36">
        <v>20</v>
      </c>
      <c r="I36">
        <f>F36+H36</f>
        <v>51</v>
      </c>
      <c r="J36">
        <f>(I36/65)*100</f>
        <v>78.461538461538467</v>
      </c>
      <c r="K36">
        <v>15</v>
      </c>
      <c r="L36">
        <f>I36+K36</f>
        <v>66</v>
      </c>
      <c r="M36">
        <f>(L36/87)*100</f>
        <v>75.862068965517238</v>
      </c>
    </row>
    <row r="37" spans="1:13" x14ac:dyDescent="0.35">
      <c r="A37">
        <v>36</v>
      </c>
      <c r="B37" t="s">
        <v>44</v>
      </c>
      <c r="C37">
        <v>21</v>
      </c>
      <c r="D37">
        <f>C37/23*100</f>
        <v>91.304347826086953</v>
      </c>
      <c r="E37">
        <v>15</v>
      </c>
      <c r="F37">
        <f>C37+E37</f>
        <v>36</v>
      </c>
      <c r="G37">
        <f>F37/39*100</f>
        <v>92.307692307692307</v>
      </c>
      <c r="H37">
        <v>26</v>
      </c>
      <c r="I37">
        <f>F37+H37</f>
        <v>62</v>
      </c>
      <c r="J37">
        <f>(I37/65)*100</f>
        <v>95.384615384615387</v>
      </c>
      <c r="K37">
        <v>22</v>
      </c>
      <c r="L37">
        <f>I37+K37</f>
        <v>84</v>
      </c>
      <c r="M37">
        <f>(L37/87)*100</f>
        <v>96.551724137931032</v>
      </c>
    </row>
    <row r="38" spans="1:13" x14ac:dyDescent="0.35">
      <c r="A38">
        <v>37</v>
      </c>
      <c r="B38" t="s">
        <v>45</v>
      </c>
      <c r="C38">
        <v>15</v>
      </c>
      <c r="D38">
        <f>C38/23*100</f>
        <v>65.217391304347828</v>
      </c>
      <c r="E38">
        <v>13</v>
      </c>
      <c r="F38">
        <f>C38+E38</f>
        <v>28</v>
      </c>
      <c r="G38">
        <f>F38/39*100</f>
        <v>71.794871794871796</v>
      </c>
      <c r="H38">
        <v>23</v>
      </c>
      <c r="I38">
        <f>F38+H38</f>
        <v>51</v>
      </c>
      <c r="J38">
        <f>(I38/65)*100</f>
        <v>78.461538461538467</v>
      </c>
      <c r="K38">
        <v>20</v>
      </c>
      <c r="L38">
        <f>I38+K38</f>
        <v>71</v>
      </c>
      <c r="M38">
        <f>(L38/87)*100</f>
        <v>81.609195402298852</v>
      </c>
    </row>
    <row r="39" spans="1:13" x14ac:dyDescent="0.35">
      <c r="A39">
        <v>38</v>
      </c>
      <c r="B39" t="s">
        <v>46</v>
      </c>
      <c r="C39">
        <v>23</v>
      </c>
      <c r="D39">
        <f>C39/23*100</f>
        <v>100</v>
      </c>
      <c r="E39">
        <v>11</v>
      </c>
      <c r="F39">
        <f>C39+E39</f>
        <v>34</v>
      </c>
      <c r="G39">
        <f>F39/39*100</f>
        <v>87.179487179487182</v>
      </c>
      <c r="H39">
        <v>23</v>
      </c>
      <c r="I39">
        <f>F39+H39</f>
        <v>57</v>
      </c>
      <c r="J39">
        <f>(I39/65)*100</f>
        <v>87.692307692307693</v>
      </c>
      <c r="K39">
        <v>15</v>
      </c>
      <c r="L39">
        <f>I39+K39</f>
        <v>72</v>
      </c>
      <c r="M39">
        <f>(L39/87)*100</f>
        <v>82.758620689655174</v>
      </c>
    </row>
    <row r="40" spans="1:13" x14ac:dyDescent="0.35">
      <c r="A40">
        <v>39</v>
      </c>
      <c r="B40" t="s">
        <v>47</v>
      </c>
      <c r="C40">
        <v>21</v>
      </c>
      <c r="D40">
        <f>C40/23*100</f>
        <v>91.304347826086953</v>
      </c>
      <c r="E40">
        <v>14</v>
      </c>
      <c r="F40">
        <f>C40+E40</f>
        <v>35</v>
      </c>
      <c r="G40">
        <f>F40/39*100</f>
        <v>89.743589743589752</v>
      </c>
      <c r="H40">
        <v>21</v>
      </c>
      <c r="I40">
        <f>F40+H40</f>
        <v>56</v>
      </c>
      <c r="J40">
        <f>(I40/65)*100</f>
        <v>86.15384615384616</v>
      </c>
      <c r="K40">
        <v>17</v>
      </c>
      <c r="L40">
        <f>I40+K40</f>
        <v>73</v>
      </c>
      <c r="M40">
        <f>(L40/87)*100</f>
        <v>83.908045977011497</v>
      </c>
    </row>
    <row r="41" spans="1:13" x14ac:dyDescent="0.35">
      <c r="A41">
        <v>40</v>
      </c>
      <c r="B41" t="s">
        <v>48</v>
      </c>
      <c r="C41">
        <v>19</v>
      </c>
      <c r="D41">
        <f>C41/23*100</f>
        <v>82.608695652173907</v>
      </c>
      <c r="E41">
        <v>15</v>
      </c>
      <c r="F41">
        <f>C41+E41</f>
        <v>34</v>
      </c>
      <c r="G41">
        <f>F41/39*100</f>
        <v>87.179487179487182</v>
      </c>
      <c r="H41">
        <v>25</v>
      </c>
      <c r="I41">
        <f>F41+H41</f>
        <v>59</v>
      </c>
      <c r="J41">
        <f>(I41/65)*100</f>
        <v>90.769230769230774</v>
      </c>
      <c r="K41">
        <v>20</v>
      </c>
      <c r="L41">
        <f>I41+K41</f>
        <v>79</v>
      </c>
      <c r="M41">
        <f>(L41/87)*100</f>
        <v>90.804597701149419</v>
      </c>
    </row>
    <row r="42" spans="1:13" x14ac:dyDescent="0.35">
      <c r="A42">
        <v>41</v>
      </c>
      <c r="B42" t="s">
        <v>49</v>
      </c>
      <c r="C42">
        <v>23</v>
      </c>
      <c r="D42">
        <f>C42/23*100</f>
        <v>100</v>
      </c>
      <c r="E42">
        <v>16</v>
      </c>
      <c r="F42">
        <f>C42+E42</f>
        <v>39</v>
      </c>
      <c r="G42">
        <f>F42/39*100</f>
        <v>100</v>
      </c>
      <c r="H42">
        <v>24</v>
      </c>
      <c r="I42">
        <f>F42+H42</f>
        <v>63</v>
      </c>
      <c r="J42">
        <f>(I42/65)*100</f>
        <v>96.92307692307692</v>
      </c>
      <c r="K42">
        <v>22</v>
      </c>
      <c r="L42">
        <f>I42+K42</f>
        <v>85</v>
      </c>
      <c r="M42">
        <f>(L42/87)*100</f>
        <v>97.701149425287355</v>
      </c>
    </row>
    <row r="43" spans="1:13" x14ac:dyDescent="0.35">
      <c r="A43">
        <v>42</v>
      </c>
      <c r="B43" t="s">
        <v>50</v>
      </c>
      <c r="C43">
        <v>14</v>
      </c>
      <c r="D43">
        <f>C43/23*100</f>
        <v>60.869565217391312</v>
      </c>
      <c r="E43">
        <v>13</v>
      </c>
      <c r="F43">
        <f>C43+E43</f>
        <v>27</v>
      </c>
      <c r="G43">
        <f>F43/39*100</f>
        <v>69.230769230769226</v>
      </c>
      <c r="H43">
        <v>23</v>
      </c>
      <c r="I43">
        <f>F43+H43</f>
        <v>50</v>
      </c>
      <c r="J43">
        <f>(I43/65)*100</f>
        <v>76.923076923076934</v>
      </c>
      <c r="K43">
        <v>19</v>
      </c>
      <c r="L43">
        <f>I43+K43</f>
        <v>69</v>
      </c>
      <c r="M43">
        <f>(L43/87)*100</f>
        <v>79.310344827586206</v>
      </c>
    </row>
    <row r="44" spans="1:13" x14ac:dyDescent="0.35">
      <c r="A44">
        <v>43</v>
      </c>
      <c r="B44" t="s">
        <v>51</v>
      </c>
      <c r="C44">
        <v>20</v>
      </c>
      <c r="D44">
        <f>C44/23*100</f>
        <v>86.956521739130437</v>
      </c>
      <c r="E44">
        <v>16</v>
      </c>
      <c r="F44">
        <f>C44+E44</f>
        <v>36</v>
      </c>
      <c r="G44">
        <f>F44/39*100</f>
        <v>92.307692307692307</v>
      </c>
      <c r="H44">
        <v>26</v>
      </c>
      <c r="I44">
        <f>F44+H44</f>
        <v>62</v>
      </c>
      <c r="J44">
        <f>(I44/65)*100</f>
        <v>95.384615384615387</v>
      </c>
      <c r="K44">
        <v>22</v>
      </c>
      <c r="L44">
        <f>I44+K44</f>
        <v>84</v>
      </c>
      <c r="M44">
        <f>(L44/87)*100</f>
        <v>96.551724137931032</v>
      </c>
    </row>
    <row r="45" spans="1:13" x14ac:dyDescent="0.35">
      <c r="A45">
        <v>44</v>
      </c>
      <c r="B45" t="s">
        <v>52</v>
      </c>
      <c r="C45">
        <v>21</v>
      </c>
      <c r="D45">
        <f>C45/23*100</f>
        <v>91.304347826086953</v>
      </c>
      <c r="E45">
        <v>14</v>
      </c>
      <c r="F45">
        <f>C45+E45</f>
        <v>35</v>
      </c>
      <c r="G45">
        <f>F45/39*100</f>
        <v>89.743589743589752</v>
      </c>
      <c r="H45">
        <v>23</v>
      </c>
      <c r="I45">
        <f>F45+H45</f>
        <v>58</v>
      </c>
      <c r="J45">
        <f>(I45/65)*100</f>
        <v>89.230769230769241</v>
      </c>
      <c r="K45">
        <v>19</v>
      </c>
      <c r="L45">
        <f>I45+K45</f>
        <v>77</v>
      </c>
      <c r="M45">
        <f>(L45/87)*100</f>
        <v>88.505747126436788</v>
      </c>
    </row>
    <row r="46" spans="1:13" x14ac:dyDescent="0.35">
      <c r="A46">
        <v>45</v>
      </c>
      <c r="B46" t="s">
        <v>53</v>
      </c>
      <c r="C46">
        <v>16</v>
      </c>
      <c r="D46">
        <f>C46/23*100</f>
        <v>69.565217391304344</v>
      </c>
      <c r="E46">
        <v>14</v>
      </c>
      <c r="F46">
        <f>C46+E46</f>
        <v>30</v>
      </c>
      <c r="G46">
        <f>F46/39*100</f>
        <v>76.923076923076934</v>
      </c>
      <c r="H46">
        <v>18</v>
      </c>
      <c r="I46">
        <f>F46+H46</f>
        <v>48</v>
      </c>
      <c r="J46">
        <f>(I46/65)*100</f>
        <v>73.846153846153854</v>
      </c>
      <c r="K46">
        <v>16</v>
      </c>
      <c r="L46">
        <f>I46+K46</f>
        <v>64</v>
      </c>
      <c r="M46">
        <f>(L46/87)*100</f>
        <v>73.563218390804593</v>
      </c>
    </row>
    <row r="47" spans="1:13" x14ac:dyDescent="0.35">
      <c r="A47">
        <v>46</v>
      </c>
      <c r="B47" t="s">
        <v>54</v>
      </c>
      <c r="C47">
        <v>20</v>
      </c>
      <c r="D47">
        <f>C47/23*100</f>
        <v>86.956521739130437</v>
      </c>
      <c r="E47">
        <v>16</v>
      </c>
      <c r="F47">
        <f>C47+E47</f>
        <v>36</v>
      </c>
      <c r="G47">
        <f>F47/39*100</f>
        <v>92.307692307692307</v>
      </c>
      <c r="H47">
        <v>15</v>
      </c>
      <c r="I47">
        <f>F47+H47</f>
        <v>51</v>
      </c>
      <c r="J47">
        <f>(I47/65)*100</f>
        <v>78.461538461538467</v>
      </c>
      <c r="K47">
        <v>17</v>
      </c>
      <c r="L47">
        <f>I47+K47</f>
        <v>68</v>
      </c>
      <c r="M47">
        <f>(L47/87)*100</f>
        <v>78.160919540229884</v>
      </c>
    </row>
    <row r="48" spans="1:13" x14ac:dyDescent="0.35">
      <c r="A48">
        <v>47</v>
      </c>
      <c r="B48" t="s">
        <v>55</v>
      </c>
      <c r="C48">
        <v>21</v>
      </c>
      <c r="D48">
        <f>C48/23*100</f>
        <v>91.304347826086953</v>
      </c>
      <c r="E48">
        <v>1</v>
      </c>
      <c r="F48">
        <f>C48+E48</f>
        <v>22</v>
      </c>
      <c r="G48">
        <f>F48/39*100</f>
        <v>56.410256410256409</v>
      </c>
      <c r="H48">
        <v>23</v>
      </c>
      <c r="I48">
        <f>F48+H48</f>
        <v>45</v>
      </c>
      <c r="J48">
        <f>(I48/65)*100</f>
        <v>69.230769230769226</v>
      </c>
      <c r="K48">
        <v>16</v>
      </c>
      <c r="L48">
        <f>I48+K48</f>
        <v>61</v>
      </c>
      <c r="M48">
        <f>(L48/87)*100</f>
        <v>70.114942528735639</v>
      </c>
    </row>
    <row r="49" spans="1:13" x14ac:dyDescent="0.35">
      <c r="A49">
        <v>48</v>
      </c>
      <c r="B49" t="s">
        <v>56</v>
      </c>
      <c r="C49">
        <v>22</v>
      </c>
      <c r="D49">
        <f>C49/23*100</f>
        <v>95.652173913043484</v>
      </c>
      <c r="E49">
        <v>15</v>
      </c>
      <c r="F49">
        <f>C49+E49</f>
        <v>37</v>
      </c>
      <c r="G49">
        <f>F49/39*100</f>
        <v>94.871794871794862</v>
      </c>
      <c r="H49">
        <v>23</v>
      </c>
      <c r="I49">
        <f>F49+H49</f>
        <v>60</v>
      </c>
      <c r="J49">
        <f>(I49/65)*100</f>
        <v>92.307692307692307</v>
      </c>
      <c r="K49">
        <v>20</v>
      </c>
      <c r="L49">
        <f>I49+K49</f>
        <v>80</v>
      </c>
      <c r="M49">
        <f>(L49/87)*100</f>
        <v>91.954022988505741</v>
      </c>
    </row>
    <row r="50" spans="1:13" x14ac:dyDescent="0.35">
      <c r="A50">
        <v>49</v>
      </c>
      <c r="B50" t="s">
        <v>57</v>
      </c>
      <c r="C50">
        <v>17</v>
      </c>
      <c r="D50">
        <f>C50/23*100</f>
        <v>73.91304347826086</v>
      </c>
      <c r="E50">
        <v>0</v>
      </c>
      <c r="F50">
        <f>C50+E50</f>
        <v>17</v>
      </c>
      <c r="G50">
        <f>F50/39*100</f>
        <v>43.589743589743591</v>
      </c>
      <c r="H50">
        <v>22</v>
      </c>
      <c r="I50">
        <f>F50+H50</f>
        <v>39</v>
      </c>
      <c r="J50">
        <f>(I50/65)*100</f>
        <v>60</v>
      </c>
      <c r="K50">
        <v>18</v>
      </c>
      <c r="L50">
        <f>I50+K50</f>
        <v>57</v>
      </c>
      <c r="M50">
        <f>(L50/87)*100</f>
        <v>65.517241379310349</v>
      </c>
    </row>
    <row r="51" spans="1:13" x14ac:dyDescent="0.35">
      <c r="A51">
        <v>50</v>
      </c>
      <c r="B51" t="s">
        <v>58</v>
      </c>
      <c r="C51">
        <v>22</v>
      </c>
      <c r="D51">
        <f>C51/23*100</f>
        <v>95.652173913043484</v>
      </c>
      <c r="E51">
        <v>15</v>
      </c>
      <c r="F51">
        <f>C51+E51</f>
        <v>37</v>
      </c>
      <c r="G51">
        <f>F51/39*100</f>
        <v>94.871794871794862</v>
      </c>
      <c r="H51">
        <v>18</v>
      </c>
      <c r="I51">
        <f>F51+H51</f>
        <v>55</v>
      </c>
      <c r="J51">
        <f>(I51/65)*100</f>
        <v>84.615384615384613</v>
      </c>
      <c r="K51">
        <v>17</v>
      </c>
      <c r="L51">
        <f>I51+K51</f>
        <v>72</v>
      </c>
      <c r="M51">
        <f>(L51/87)*100</f>
        <v>82.758620689655174</v>
      </c>
    </row>
    <row r="52" spans="1:13" x14ac:dyDescent="0.35">
      <c r="A52">
        <v>51</v>
      </c>
      <c r="B52" t="s">
        <v>59</v>
      </c>
      <c r="C52">
        <v>17</v>
      </c>
      <c r="D52">
        <f>C52/23*100</f>
        <v>73.91304347826086</v>
      </c>
      <c r="E52">
        <v>10</v>
      </c>
      <c r="F52">
        <f>C52+E52</f>
        <v>27</v>
      </c>
      <c r="G52">
        <f>F52/39*100</f>
        <v>69.230769230769226</v>
      </c>
      <c r="H52">
        <v>21</v>
      </c>
      <c r="I52">
        <f>F52+H52</f>
        <v>48</v>
      </c>
      <c r="J52">
        <f>(I52/65)*100</f>
        <v>73.846153846153854</v>
      </c>
      <c r="K52">
        <v>18</v>
      </c>
      <c r="L52">
        <f>I52+K52</f>
        <v>66</v>
      </c>
      <c r="M52">
        <f>(L52/87)*100</f>
        <v>75.862068965517238</v>
      </c>
    </row>
    <row r="53" spans="1:13" x14ac:dyDescent="0.35">
      <c r="A53">
        <v>52</v>
      </c>
      <c r="B53" t="s">
        <v>60</v>
      </c>
      <c r="C53">
        <v>20</v>
      </c>
      <c r="D53">
        <f>C53/23*100</f>
        <v>86.956521739130437</v>
      </c>
      <c r="E53">
        <v>10</v>
      </c>
      <c r="F53">
        <f>C53+E53</f>
        <v>30</v>
      </c>
      <c r="G53">
        <f>F53/39*100</f>
        <v>76.923076923076934</v>
      </c>
      <c r="H53">
        <v>19</v>
      </c>
      <c r="I53">
        <f>F53+H53</f>
        <v>49</v>
      </c>
      <c r="J53">
        <f>(I53/65)*100</f>
        <v>75.384615384615387</v>
      </c>
      <c r="K53">
        <v>18</v>
      </c>
      <c r="L53">
        <f>I53+K53</f>
        <v>67</v>
      </c>
      <c r="M53">
        <f>(L53/87)*100</f>
        <v>77.011494252873561</v>
      </c>
    </row>
    <row r="54" spans="1:13" x14ac:dyDescent="0.35">
      <c r="A54">
        <v>53</v>
      </c>
      <c r="B54" t="s">
        <v>61</v>
      </c>
      <c r="C54">
        <v>21</v>
      </c>
      <c r="D54">
        <f>C54/23*100</f>
        <v>91.304347826086953</v>
      </c>
      <c r="E54">
        <v>11</v>
      </c>
      <c r="F54">
        <f>C54+E54</f>
        <v>32</v>
      </c>
      <c r="G54">
        <f>F54/39*100</f>
        <v>82.051282051282044</v>
      </c>
      <c r="H54">
        <v>17</v>
      </c>
      <c r="I54">
        <f>F54+H54</f>
        <v>49</v>
      </c>
      <c r="J54">
        <f>(I54/65)*100</f>
        <v>75.384615384615387</v>
      </c>
      <c r="K54">
        <v>18</v>
      </c>
      <c r="L54">
        <f>I54+K54</f>
        <v>67</v>
      </c>
      <c r="M54">
        <f>(L54/87)*100</f>
        <v>77.011494252873561</v>
      </c>
    </row>
    <row r="55" spans="1:13" x14ac:dyDescent="0.35">
      <c r="A55">
        <v>54</v>
      </c>
      <c r="B55" t="s">
        <v>62</v>
      </c>
      <c r="C55">
        <v>22</v>
      </c>
      <c r="D55">
        <f>C55/23*100</f>
        <v>95.652173913043484</v>
      </c>
      <c r="E55">
        <v>13</v>
      </c>
      <c r="F55">
        <f>C55+E55</f>
        <v>35</v>
      </c>
      <c r="G55">
        <f>F55/39*100</f>
        <v>89.743589743589752</v>
      </c>
      <c r="H55">
        <v>21</v>
      </c>
      <c r="I55">
        <f>F55+H55</f>
        <v>56</v>
      </c>
      <c r="J55">
        <f>(I55/65)*100</f>
        <v>86.15384615384616</v>
      </c>
      <c r="K55">
        <v>18</v>
      </c>
      <c r="L55">
        <f>I55+K55</f>
        <v>74</v>
      </c>
      <c r="M55">
        <f>(L55/87)*100</f>
        <v>85.057471264367805</v>
      </c>
    </row>
    <row r="56" spans="1:13" x14ac:dyDescent="0.35">
      <c r="A56">
        <v>55</v>
      </c>
      <c r="B56" t="s">
        <v>63</v>
      </c>
      <c r="C56">
        <v>21</v>
      </c>
      <c r="D56">
        <f>C56/23*100</f>
        <v>91.304347826086953</v>
      </c>
      <c r="E56">
        <v>12</v>
      </c>
      <c r="F56">
        <f>C56+E56</f>
        <v>33</v>
      </c>
      <c r="G56">
        <f>F56/39*100</f>
        <v>84.615384615384613</v>
      </c>
      <c r="H56">
        <v>20</v>
      </c>
      <c r="I56">
        <f>F56+H56</f>
        <v>53</v>
      </c>
      <c r="J56">
        <f>(I56/65)*100</f>
        <v>81.538461538461533</v>
      </c>
      <c r="K56">
        <v>16</v>
      </c>
      <c r="L56">
        <f>I56+K56</f>
        <v>69</v>
      </c>
      <c r="M56">
        <f>(L56/87)*100</f>
        <v>79.310344827586206</v>
      </c>
    </row>
    <row r="57" spans="1:13" x14ac:dyDescent="0.35">
      <c r="A57">
        <v>56</v>
      </c>
      <c r="B57" t="s">
        <v>64</v>
      </c>
      <c r="C57">
        <v>20</v>
      </c>
      <c r="D57">
        <f>C57/23*100</f>
        <v>86.956521739130437</v>
      </c>
      <c r="E57">
        <v>12</v>
      </c>
      <c r="F57">
        <f>C57+E57</f>
        <v>32</v>
      </c>
      <c r="G57">
        <f>F57/39*100</f>
        <v>82.051282051282044</v>
      </c>
      <c r="H57">
        <v>22</v>
      </c>
      <c r="I57">
        <f>F57+H57</f>
        <v>54</v>
      </c>
      <c r="J57">
        <f>(I57/65)*100</f>
        <v>83.07692307692308</v>
      </c>
      <c r="K57">
        <v>18</v>
      </c>
      <c r="L57">
        <f>I57+K57</f>
        <v>72</v>
      </c>
      <c r="M57">
        <f>(L57/87)*100</f>
        <v>82.758620689655174</v>
      </c>
    </row>
    <row r="58" spans="1:13" x14ac:dyDescent="0.35">
      <c r="A58">
        <v>57</v>
      </c>
      <c r="B58" t="s">
        <v>65</v>
      </c>
      <c r="C58">
        <v>22</v>
      </c>
      <c r="D58">
        <f>C58/23*100</f>
        <v>95.652173913043484</v>
      </c>
      <c r="E58">
        <v>14</v>
      </c>
      <c r="F58">
        <f>C58+E58</f>
        <v>36</v>
      </c>
      <c r="G58">
        <f>F58/39*100</f>
        <v>92.307692307692307</v>
      </c>
      <c r="H58">
        <v>23</v>
      </c>
      <c r="I58">
        <f>F58+H58</f>
        <v>59</v>
      </c>
      <c r="J58">
        <f>(I58/65)*100</f>
        <v>90.769230769230774</v>
      </c>
      <c r="K58">
        <v>16</v>
      </c>
      <c r="L58">
        <f>I58+K58</f>
        <v>75</v>
      </c>
      <c r="M58">
        <f>(L58/87)*100</f>
        <v>86.206896551724128</v>
      </c>
    </row>
    <row r="59" spans="1:13" x14ac:dyDescent="0.35">
      <c r="A59">
        <v>58</v>
      </c>
      <c r="B59" t="s">
        <v>66</v>
      </c>
      <c r="C59">
        <v>21</v>
      </c>
      <c r="D59">
        <f>C59/23*100</f>
        <v>91.304347826086953</v>
      </c>
      <c r="E59">
        <v>11</v>
      </c>
      <c r="F59">
        <f>C59+E59</f>
        <v>32</v>
      </c>
      <c r="G59">
        <f>F59/39*100</f>
        <v>82.051282051282044</v>
      </c>
      <c r="H59">
        <v>25</v>
      </c>
      <c r="I59">
        <f>F59+H59</f>
        <v>57</v>
      </c>
      <c r="J59">
        <f>(I59/65)*100</f>
        <v>87.692307692307693</v>
      </c>
      <c r="K59">
        <v>19</v>
      </c>
      <c r="L59">
        <f>I59+K59</f>
        <v>76</v>
      </c>
      <c r="M59">
        <f>(L59/87)*100</f>
        <v>87.356321839080465</v>
      </c>
    </row>
    <row r="60" spans="1:13" x14ac:dyDescent="0.35">
      <c r="A60">
        <v>59</v>
      </c>
      <c r="B60" t="s">
        <v>67</v>
      </c>
      <c r="C60">
        <v>22</v>
      </c>
      <c r="D60">
        <f>C60/23*100</f>
        <v>95.652173913043484</v>
      </c>
      <c r="E60">
        <v>12</v>
      </c>
      <c r="F60">
        <f>C60+E60</f>
        <v>34</v>
      </c>
      <c r="G60">
        <f>F60/39*100</f>
        <v>87.179487179487182</v>
      </c>
      <c r="H60">
        <v>22</v>
      </c>
      <c r="I60">
        <f>F60+H60</f>
        <v>56</v>
      </c>
      <c r="J60">
        <f>(I60/65)*100</f>
        <v>86.15384615384616</v>
      </c>
      <c r="K60">
        <v>18</v>
      </c>
      <c r="L60">
        <f>I60+K60</f>
        <v>74</v>
      </c>
      <c r="M60">
        <f>(L60/87)*100</f>
        <v>85.057471264367805</v>
      </c>
    </row>
    <row r="61" spans="1:13" x14ac:dyDescent="0.35">
      <c r="A61">
        <v>60</v>
      </c>
      <c r="B61" t="s">
        <v>68</v>
      </c>
      <c r="C61">
        <v>21</v>
      </c>
      <c r="D61">
        <f>C61/23*100</f>
        <v>91.304347826086953</v>
      </c>
      <c r="E61">
        <v>14</v>
      </c>
      <c r="F61">
        <f>C61+E61</f>
        <v>35</v>
      </c>
      <c r="G61">
        <f>F61/39*100</f>
        <v>89.743589743589752</v>
      </c>
      <c r="H61">
        <v>18</v>
      </c>
      <c r="I61">
        <f>F61+H61</f>
        <v>53</v>
      </c>
      <c r="J61">
        <f>(I61/65)*100</f>
        <v>81.538461538461533</v>
      </c>
      <c r="K61">
        <v>19</v>
      </c>
      <c r="L61">
        <f>I61+K61</f>
        <v>72</v>
      </c>
      <c r="M61">
        <f>(L61/87)*100</f>
        <v>82.758620689655174</v>
      </c>
    </row>
    <row r="62" spans="1:13" x14ac:dyDescent="0.35">
      <c r="A62">
        <v>61</v>
      </c>
      <c r="B62" t="s">
        <v>69</v>
      </c>
      <c r="C62">
        <v>22</v>
      </c>
      <c r="D62">
        <f>C62/23*100</f>
        <v>95.652173913043484</v>
      </c>
      <c r="E62">
        <v>16</v>
      </c>
      <c r="F62">
        <f>C62+E62</f>
        <v>38</v>
      </c>
      <c r="G62">
        <f>F62/39*100</f>
        <v>97.435897435897431</v>
      </c>
      <c r="H62">
        <v>24</v>
      </c>
      <c r="I62">
        <f>F62+H62</f>
        <v>62</v>
      </c>
      <c r="J62">
        <f>(I62/65)*100</f>
        <v>95.384615384615387</v>
      </c>
      <c r="K62">
        <v>22</v>
      </c>
      <c r="L62">
        <f>I62+K62</f>
        <v>84</v>
      </c>
      <c r="M62">
        <f>(L62/87)*100</f>
        <v>96.551724137931032</v>
      </c>
    </row>
    <row r="63" spans="1:13" x14ac:dyDescent="0.35">
      <c r="A63">
        <v>62</v>
      </c>
      <c r="B63" t="s">
        <v>70</v>
      </c>
      <c r="C63">
        <v>12</v>
      </c>
      <c r="D63">
        <f>C63/23*100</f>
        <v>52.173913043478258</v>
      </c>
      <c r="E63">
        <v>9</v>
      </c>
      <c r="F63">
        <f>C63+E63</f>
        <v>21</v>
      </c>
      <c r="G63">
        <f>F63/39*100</f>
        <v>53.846153846153847</v>
      </c>
      <c r="H63">
        <v>19</v>
      </c>
      <c r="I63">
        <f>F63+H63</f>
        <v>40</v>
      </c>
      <c r="J63">
        <f>(I63/65)*100</f>
        <v>61.53846153846154</v>
      </c>
      <c r="K63">
        <v>15</v>
      </c>
      <c r="L63">
        <f>I63+K63</f>
        <v>55</v>
      </c>
      <c r="M63">
        <f>(L63/87)*100</f>
        <v>63.218390804597703</v>
      </c>
    </row>
    <row r="64" spans="1:13" x14ac:dyDescent="0.35">
      <c r="A64">
        <v>63</v>
      </c>
      <c r="B64" t="s">
        <v>71</v>
      </c>
      <c r="C64">
        <v>20</v>
      </c>
      <c r="D64">
        <f>C64/23*100</f>
        <v>86.956521739130437</v>
      </c>
      <c r="E64">
        <v>14</v>
      </c>
      <c r="F64">
        <f>C64+E64</f>
        <v>34</v>
      </c>
      <c r="G64">
        <f>F64/39*100</f>
        <v>87.179487179487182</v>
      </c>
      <c r="H64">
        <v>25</v>
      </c>
      <c r="I64">
        <f>F64+H64</f>
        <v>59</v>
      </c>
      <c r="J64">
        <f>(I64/65)*100</f>
        <v>90.769230769230774</v>
      </c>
      <c r="K64">
        <v>20</v>
      </c>
      <c r="L64">
        <f>I64+K64</f>
        <v>79</v>
      </c>
      <c r="M64">
        <f>(L64/87)*100</f>
        <v>90.804597701149419</v>
      </c>
    </row>
  </sheetData>
  <autoFilter ref="A1:M1">
    <sortState ref="A2:L6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2026-04-30T05:34:08Z</dcterms:created>
  <dcterms:modified xsi:type="dcterms:W3CDTF">2026-09-06T06:13:03Z</dcterms:modified>
</cp:coreProperties>
</file>